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AdvanccareerUK documenta\KaamDost\"/>
    </mc:Choice>
  </mc:AlternateContent>
  <xr:revisionPtr revIDLastSave="0" documentId="13_ncr:1_{B032B571-1414-471E-886E-FA5CAF8DFF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2" r:id="rId1"/>
    <sheet name="Status" sheetId="4" r:id="rId2"/>
    <sheet name="Data" sheetId="1" r:id="rId3"/>
  </sheets>
  <definedNames>
    <definedName name="_xlchart.v1.0" hidden="1">Data!$H$3:$H$9</definedName>
    <definedName name="_xlchart.v1.1" hidden="1">Data!$I$1:$I$2</definedName>
    <definedName name="_xlchart.v1.2" hidden="1">Data!$I$3:$I$9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4" l="1"/>
  <c r="E27" i="4"/>
  <c r="I27" i="4" s="1"/>
  <c r="I26" i="4"/>
  <c r="I25" i="4"/>
  <c r="I24" i="4"/>
  <c r="I23" i="4"/>
  <c r="I22" i="4"/>
  <c r="F15" i="1" l="1"/>
  <c r="E15" i="1"/>
</calcChain>
</file>

<file path=xl/sharedStrings.xml><?xml version="1.0" encoding="utf-8"?>
<sst xmlns="http://schemas.openxmlformats.org/spreadsheetml/2006/main" count="138" uniqueCount="101">
  <si>
    <t>Task  Information</t>
  </si>
  <si>
    <t>Budget Information</t>
  </si>
  <si>
    <t>Schedule</t>
  </si>
  <si>
    <t>Task Type</t>
  </si>
  <si>
    <t>No.</t>
  </si>
  <si>
    <t>Month</t>
  </si>
  <si>
    <t>Planned</t>
  </si>
  <si>
    <t>Actual</t>
  </si>
  <si>
    <t>Task</t>
  </si>
  <si>
    <t>Start</t>
  </si>
  <si>
    <t>Finish</t>
  </si>
  <si>
    <t>Duration</t>
  </si>
  <si>
    <t>On Track</t>
  </si>
  <si>
    <t>Resourcing</t>
  </si>
  <si>
    <t>Delayed</t>
  </si>
  <si>
    <t>Software Costs</t>
  </si>
  <si>
    <t>Not Started</t>
  </si>
  <si>
    <t>Hardware Cost</t>
  </si>
  <si>
    <t>Vendor Cost</t>
  </si>
  <si>
    <t xml:space="preserve">Risks </t>
  </si>
  <si>
    <t>Other Expenses</t>
  </si>
  <si>
    <t>High</t>
  </si>
  <si>
    <t>Medium</t>
  </si>
  <si>
    <t>Low</t>
  </si>
  <si>
    <t>Issues</t>
  </si>
  <si>
    <t>Total</t>
  </si>
  <si>
    <t>Decisions Actions Changes</t>
  </si>
  <si>
    <t>Decisions Pending</t>
  </si>
  <si>
    <t>Actions Pending</t>
  </si>
  <si>
    <t>Change Requests Pending</t>
  </si>
  <si>
    <t>Project Status</t>
  </si>
  <si>
    <t>Red</t>
  </si>
  <si>
    <t>Green</t>
  </si>
  <si>
    <t>Amber</t>
  </si>
  <si>
    <t>Project Name</t>
  </si>
  <si>
    <t xml:space="preserve">Kaamdost </t>
  </si>
  <si>
    <t>Project Manager</t>
  </si>
  <si>
    <t>Ravi Raj</t>
  </si>
  <si>
    <t>Date</t>
  </si>
  <si>
    <t>Project Health Card</t>
  </si>
  <si>
    <t>Development phase is behind planned progress. Risk of timeline slippage identified.</t>
  </si>
  <si>
    <t>Budget</t>
  </si>
  <si>
    <t>Project is under budget with a positive variance of 18500</t>
  </si>
  <si>
    <t>Resources</t>
  </si>
  <si>
    <t>Resource allocation is uneven and impacted by availability issues.</t>
  </si>
  <si>
    <t>Quality</t>
  </si>
  <si>
    <t>Number of unresolved defects has exceeded acceptable threshold. Immediate action required.</t>
  </si>
  <si>
    <t>Scope</t>
  </si>
  <si>
    <t>Scope is stable but 2 change requests are pending approval.</t>
  </si>
  <si>
    <t>Risks</t>
  </si>
  <si>
    <t>Project risks are identified and under monitoring but require mitigation actions.</t>
  </si>
  <si>
    <t>There are 4 high priority issues impacting project progress.</t>
  </si>
  <si>
    <t>Change Mgt</t>
  </si>
  <si>
    <t>Change management plan is being prepared and aligned with project needs.</t>
  </si>
  <si>
    <t>Project Schedule</t>
  </si>
  <si>
    <t>No</t>
  </si>
  <si>
    <t>Progress</t>
  </si>
  <si>
    <t>Projected Date</t>
  </si>
  <si>
    <t>Concerns</t>
  </si>
  <si>
    <t>Analysis</t>
  </si>
  <si>
    <t>Build</t>
  </si>
  <si>
    <t>Development</t>
  </si>
  <si>
    <t>Quality Assurance</t>
  </si>
  <si>
    <t>User Acceptance Testing</t>
  </si>
  <si>
    <t>Production</t>
  </si>
  <si>
    <t>Support</t>
  </si>
  <si>
    <t>Project Financials</t>
  </si>
  <si>
    <t>Item</t>
  </si>
  <si>
    <t>Planned Spend</t>
  </si>
  <si>
    <t>Actual Spend</t>
  </si>
  <si>
    <t>Variance</t>
  </si>
  <si>
    <t>Resourcing Costs</t>
  </si>
  <si>
    <t>Hardware Costs</t>
  </si>
  <si>
    <t>Vendor Costs</t>
  </si>
  <si>
    <t>Totals</t>
  </si>
  <si>
    <t>Top 5</t>
  </si>
  <si>
    <t>Type</t>
  </si>
  <si>
    <t>Description</t>
  </si>
  <si>
    <t>Status</t>
  </si>
  <si>
    <t>Owner</t>
  </si>
  <si>
    <t>Due</t>
  </si>
  <si>
    <t>Risk</t>
  </si>
  <si>
    <t>Technical architecture risk identified but mitigation not fully closed</t>
  </si>
  <si>
    <t>Neel</t>
  </si>
  <si>
    <t>Issue</t>
  </si>
  <si>
    <t>Unplanned team leaves impacting delivery velocity</t>
  </si>
  <si>
    <t>Wale</t>
  </si>
  <si>
    <t>20/052026</t>
  </si>
  <si>
    <t>Decision</t>
  </si>
  <si>
    <t>Technical architecture approval pending and blocking progress</t>
  </si>
  <si>
    <t>Sam</t>
  </si>
  <si>
    <t>Dependency</t>
  </si>
  <si>
    <t>External hardware dependency still open and not resolved</t>
  </si>
  <si>
    <t>Ram</t>
  </si>
  <si>
    <t>Change Request</t>
  </si>
  <si>
    <t>Pending approvals required to control scope impact</t>
  </si>
  <si>
    <t>Jam</t>
  </si>
  <si>
    <t xml:space="preserve">Project Name : Kaamdost </t>
  </si>
  <si>
    <t xml:space="preserve">About Project </t>
  </si>
  <si>
    <t>Overall health</t>
  </si>
  <si>
    <t>User Acceptence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</si>
</sst>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9]dd\-mmm\-yy;@"/>
    <numFmt numFmtId="165" formatCode="&quot;$&quot;#,##0"/>
    <numFmt numFmtId="166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5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3" borderId="3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3" xfId="0" applyFont="1" applyFill="1" applyBorder="1" applyAlignment="1">
      <alignment horizontal="center" vertical="center"/>
    </xf>
    <xf numFmtId="0" fontId="0" fillId="0" borderId="3" xfId="0" applyBorder="1"/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3" borderId="3" xfId="0" applyFill="1" applyBorder="1"/>
    <xf numFmtId="1" fontId="0" fillId="0" borderId="3" xfId="0" applyNumberFormat="1" applyBorder="1"/>
    <xf numFmtId="0" fontId="0" fillId="0" borderId="0" xfId="0" applyAlignment="1">
      <alignment horizontal="center" vertical="center"/>
    </xf>
    <xf numFmtId="14" fontId="0" fillId="0" borderId="0" xfId="0" applyNumberFormat="1"/>
    <xf numFmtId="165" fontId="0" fillId="0" borderId="0" xfId="0" applyNumberFormat="1"/>
    <xf numFmtId="166" fontId="0" fillId="3" borderId="3" xfId="0" applyNumberFormat="1" applyFill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166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66" fontId="1" fillId="3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16" fontId="2" fillId="0" borderId="3" xfId="0" applyNumberFormat="1" applyFont="1" applyBorder="1" applyAlignment="1">
      <alignment horizontal="center" vertical="center"/>
    </xf>
    <xf numFmtId="0" fontId="5" fillId="0" borderId="0" xfId="0" applyFont="1"/>
    <xf numFmtId="0" fontId="0" fillId="6" borderId="3" xfId="0" applyFill="1" applyBorder="1"/>
    <xf numFmtId="0" fontId="5" fillId="6" borderId="3" xfId="0" applyFont="1" applyFill="1" applyBorder="1"/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4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FF6600"/>
        </patternFill>
      </fill>
    </dxf>
    <dxf>
      <font>
        <color theme="0"/>
      </font>
      <fill>
        <patternFill>
          <bgColor rgb="FFFF66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911832895888011"/>
          <c:y val="0.16708333333333336"/>
          <c:w val="0.40287467191601051"/>
          <c:h val="0.6714577865266842"/>
        </c:manualLayout>
      </c:layout>
      <c:pieChart>
        <c:varyColors val="1"/>
        <c:ser>
          <c:idx val="0"/>
          <c:order val="0"/>
          <c:tx>
            <c:strRef>
              <c:f>Data!$B$1:$B$2</c:f>
              <c:strCache>
                <c:ptCount val="2"/>
                <c:pt idx="0">
                  <c:v>Task  Information</c:v>
                </c:pt>
                <c:pt idx="1">
                  <c:v>No.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6E-4C13-8FBD-0F99C3971B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6E-4C13-8FBD-0F99C3971B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6E-4C13-8FBD-0F99C3971B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Data!$A$3:$A$5</c:f>
              <c:strCache>
                <c:ptCount val="3"/>
                <c:pt idx="0">
                  <c:v>On Track</c:v>
                </c:pt>
                <c:pt idx="1">
                  <c:v>Delayed</c:v>
                </c:pt>
                <c:pt idx="2">
                  <c:v>Not Started</c:v>
                </c:pt>
              </c:strCache>
            </c:strRef>
          </c:cat>
          <c:val>
            <c:numRef>
              <c:f>Data!$B$3:$B$5</c:f>
              <c:numCache>
                <c:formatCode>General</c:formatCode>
                <c:ptCount val="3"/>
                <c:pt idx="0">
                  <c:v>8</c:v>
                </c:pt>
                <c:pt idx="1">
                  <c:v>8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6E-4C13-8FBD-0F99C3971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Risks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Data!$A$7</c:f>
              <c:strCache>
                <c:ptCount val="1"/>
                <c:pt idx="0">
                  <c:v>Risks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Data!$B$7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64A8-4248-9577-00328EFA6F36}"/>
            </c:ext>
          </c:extLst>
        </c:ser>
        <c:ser>
          <c:idx val="1"/>
          <c:order val="1"/>
          <c:tx>
            <c:strRef>
              <c:f>Data!$A$8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Data!$B$8</c:f>
              <c:numCache>
                <c:formatCode>0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A8-4248-9577-00328EFA6F36}"/>
            </c:ext>
          </c:extLst>
        </c:ser>
        <c:ser>
          <c:idx val="2"/>
          <c:order val="2"/>
          <c:tx>
            <c:strRef>
              <c:f>Data!$A$9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Data!$B$9</c:f>
              <c:numCache>
                <c:formatCode>0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A8-4248-9577-00328EFA6F36}"/>
            </c:ext>
          </c:extLst>
        </c:ser>
        <c:ser>
          <c:idx val="3"/>
          <c:order val="3"/>
          <c:tx>
            <c:strRef>
              <c:f>Data!$A$10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Data!$B$10</c:f>
              <c:numCache>
                <c:formatCode>0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A8-4248-9577-00328EFA6F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72137744"/>
        <c:axId val="2072130544"/>
      </c:barChart>
      <c:catAx>
        <c:axId val="207213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130544"/>
        <c:crosses val="autoZero"/>
        <c:auto val="1"/>
        <c:lblAlgn val="ctr"/>
        <c:lblOffset val="100"/>
        <c:noMultiLvlLbl val="0"/>
      </c:catAx>
      <c:valAx>
        <c:axId val="207213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13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Decision</a:t>
            </a:r>
            <a:r>
              <a:rPr lang="en-IN" baseline="0"/>
              <a:t> Action Changes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Data!$A$17:$A$20</c:f>
              <c:strCache>
                <c:ptCount val="4"/>
                <c:pt idx="0">
                  <c:v>Decisions Actions Changes</c:v>
                </c:pt>
                <c:pt idx="1">
                  <c:v>Decisions Pending</c:v>
                </c:pt>
                <c:pt idx="2">
                  <c:v>Actions Pending</c:v>
                </c:pt>
                <c:pt idx="3">
                  <c:v>Change Requests Pending</c:v>
                </c:pt>
              </c:strCache>
            </c:strRef>
          </c:cat>
          <c:val>
            <c:numRef>
              <c:f>Data!$B$17:$B$20</c:f>
              <c:numCache>
                <c:formatCode>General</c:formatCode>
                <c:ptCount val="4"/>
                <c:pt idx="1">
                  <c:v>1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9-4235-88F5-6D9A160D3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8636944"/>
        <c:axId val="1968649904"/>
      </c:barChart>
      <c:catAx>
        <c:axId val="1968636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649904"/>
        <c:crosses val="autoZero"/>
        <c:auto val="1"/>
        <c:lblAlgn val="ctr"/>
        <c:lblOffset val="100"/>
        <c:noMultiLvlLbl val="0"/>
      </c:catAx>
      <c:valAx>
        <c:axId val="196864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63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Data!$E$1:$E$2</c:f>
              <c:strCache>
                <c:ptCount val="2"/>
                <c:pt idx="0">
                  <c:v> Budget Information </c:v>
                </c:pt>
                <c:pt idx="1">
                  <c:v> Planned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E28-4257-A236-41DCE01FF8C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E28-4257-A236-41DCE01FF8C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E28-4257-A236-41DCE01FF8C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E28-4257-A236-41DCE01FF8C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E28-4257-A236-41DCE01FF8C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E28-4257-A236-41DCE01FF8C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E28-4257-A236-41DCE01FF8C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E28-4257-A236-41DCE01FF8C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E28-4257-A236-41DCE01FF8C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E28-4257-A236-41DCE01FF8C7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E28-4257-A236-41DCE01FF8C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E28-4257-A236-41DCE01FF8C7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E28-4257-A236-41DCE01FF8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Data!$D$3:$D$15</c:f>
              <c:strCache>
                <c:ptCount val="13"/>
                <c:pt idx="0">
                  <c:v> Resourcing </c:v>
                </c:pt>
                <c:pt idx="1">
                  <c:v> Software Costs </c:v>
                </c:pt>
                <c:pt idx="2">
                  <c:v> Hardware Cost </c:v>
                </c:pt>
                <c:pt idx="3">
                  <c:v> Vendor Cost </c:v>
                </c:pt>
                <c:pt idx="4">
                  <c:v> Other Expenses </c:v>
                </c:pt>
                <c:pt idx="12">
                  <c:v> Total </c:v>
                </c:pt>
              </c:strCache>
            </c:strRef>
          </c:cat>
          <c:val>
            <c:numRef>
              <c:f>Data!$E$3:$E$15</c:f>
              <c:numCache>
                <c:formatCode>_-[$$-409]* #,##0.00_ ;_-[$$-409]* \-#,##0.00\ ;_-[$$-409]* "-"??_ ;_-@_ </c:formatCode>
                <c:ptCount val="13"/>
                <c:pt idx="0">
                  <c:v>15000</c:v>
                </c:pt>
                <c:pt idx="1">
                  <c:v>5000</c:v>
                </c:pt>
                <c:pt idx="2">
                  <c:v>3000</c:v>
                </c:pt>
                <c:pt idx="3">
                  <c:v>4000</c:v>
                </c:pt>
                <c:pt idx="4">
                  <c:v>3000</c:v>
                </c:pt>
                <c:pt idx="12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E28-4257-A236-41DCE01FF8C7}"/>
            </c:ext>
          </c:extLst>
        </c:ser>
        <c:ser>
          <c:idx val="1"/>
          <c:order val="1"/>
          <c:tx>
            <c:strRef>
              <c:f>Data!$F$1:$F$2</c:f>
              <c:strCache>
                <c:ptCount val="2"/>
                <c:pt idx="0">
                  <c:v> Budget Information </c:v>
                </c:pt>
                <c:pt idx="1">
                  <c:v> Actual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8E28-4257-A236-41DCE01FF8C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8E28-4257-A236-41DCE01FF8C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8E28-4257-A236-41DCE01FF8C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8E28-4257-A236-41DCE01FF8C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8E28-4257-A236-41DCE01FF8C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8E28-4257-A236-41DCE01FF8C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8E28-4257-A236-41DCE01FF8C7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8E28-4257-A236-41DCE01FF8C7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8E28-4257-A236-41DCE01FF8C7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E-8E28-4257-A236-41DCE01FF8C7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0-8E28-4257-A236-41DCE01FF8C7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2-8E28-4257-A236-41DCE01FF8C7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8E28-4257-A236-41DCE01FF8C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Data!$D$3:$D$15</c:f>
              <c:strCache>
                <c:ptCount val="13"/>
                <c:pt idx="0">
                  <c:v> Resourcing </c:v>
                </c:pt>
                <c:pt idx="1">
                  <c:v> Software Costs </c:v>
                </c:pt>
                <c:pt idx="2">
                  <c:v> Hardware Cost </c:v>
                </c:pt>
                <c:pt idx="3">
                  <c:v> Vendor Cost </c:v>
                </c:pt>
                <c:pt idx="4">
                  <c:v> Other Expenses </c:v>
                </c:pt>
                <c:pt idx="12">
                  <c:v> Total </c:v>
                </c:pt>
              </c:strCache>
            </c:strRef>
          </c:cat>
          <c:val>
            <c:numRef>
              <c:f>Data!$F$3:$F$15</c:f>
              <c:numCache>
                <c:formatCode>_-[$$-409]* #,##0.00_ ;_-[$$-409]* \-#,##0.00\ ;_-[$$-409]* "-"??_ ;_-@_ </c:formatCode>
                <c:ptCount val="13"/>
                <c:pt idx="0">
                  <c:v>13500</c:v>
                </c:pt>
                <c:pt idx="1">
                  <c:v>4200</c:v>
                </c:pt>
                <c:pt idx="2">
                  <c:v>2500</c:v>
                </c:pt>
                <c:pt idx="3">
                  <c:v>3200</c:v>
                </c:pt>
                <c:pt idx="4">
                  <c:v>2400</c:v>
                </c:pt>
                <c:pt idx="12">
                  <c:v>25800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8E28-4257-A236-41DCE01FF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Data!$B$22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6A-4E48-A642-5ED2505BCC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6A-4E48-A642-5ED2505BCC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6A-4E48-A642-5ED2505BCC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Data!$A$23:$A$25</c:f>
              <c:strCache>
                <c:ptCount val="3"/>
                <c:pt idx="0">
                  <c:v>Red</c:v>
                </c:pt>
                <c:pt idx="1">
                  <c:v>Green</c:v>
                </c:pt>
                <c:pt idx="2">
                  <c:v>Amber</c:v>
                </c:pt>
              </c:strCache>
            </c:strRef>
          </c:cat>
          <c:val>
            <c:numRef>
              <c:f>Data!$B$23:$B$25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6A-4E48-A642-5ED2505BCC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Issues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Data!$B$12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Data!$A$13:$A$15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Data!$B$13:$B$15</c:f>
              <c:numCache>
                <c:formatCode>0</c:formatCode>
                <c:ptCount val="3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2-495E-8E57-0EE81E6AB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0494975"/>
        <c:axId val="430486335"/>
      </c:barChart>
      <c:catAx>
        <c:axId val="430494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486335"/>
        <c:crosses val="autoZero"/>
        <c:auto val="1"/>
        <c:lblAlgn val="ctr"/>
        <c:lblOffset val="100"/>
        <c:noMultiLvlLbl val="0"/>
      </c:catAx>
      <c:valAx>
        <c:axId val="43048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49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Schedule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Schedule</a:t>
          </a:r>
        </a:p>
      </cx:txPr>
    </cx:title>
    <cx:plotArea>
      <cx:plotAreaRegion>
        <cx:series layoutId="waterfall" uniqueId="{2B3CBA8A-F342-43C5-9751-F1FFA25507A6}" formatIdx="0">
          <cx:tx>
            <cx:txData>
              <cx:f>_xlchart.v1.1</cx:f>
              <cx:v>Duration</cx:v>
            </cx:txData>
          </cx:tx>
          <cx:dataLabels pos="inEnd"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38485</xdr:rowOff>
    </xdr:from>
    <xdr:to>
      <xdr:col>7</xdr:col>
      <xdr:colOff>304800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6332AA-D479-4E6A-96CC-8540A9AA3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361758</xdr:colOff>
      <xdr:row>20</xdr:row>
      <xdr:rowOff>1</xdr:rowOff>
    </xdr:from>
    <xdr:to>
      <xdr:col>16</xdr:col>
      <xdr:colOff>515697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5D083B-732F-4F28-AA41-2A61C111B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284789</xdr:colOff>
      <xdr:row>5</xdr:row>
      <xdr:rowOff>0</xdr:rowOff>
    </xdr:from>
    <xdr:to>
      <xdr:col>16</xdr:col>
      <xdr:colOff>407939</xdr:colOff>
      <xdr:row>19</xdr:row>
      <xdr:rowOff>100061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887C09-93BA-44BE-A75A-B142FCAF8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163330</xdr:colOff>
      <xdr:row>36</xdr:row>
      <xdr:rowOff>59933</xdr:rowOff>
    </xdr:from>
    <xdr:to>
      <xdr:col>18</xdr:col>
      <xdr:colOff>123152</xdr:colOff>
      <xdr:row>55</xdr:row>
      <xdr:rowOff>46182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EDE2A2-ECD3-4DE5-A040-35038BDA5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454121</xdr:colOff>
      <xdr:row>5</xdr:row>
      <xdr:rowOff>23091</xdr:rowOff>
    </xdr:from>
    <xdr:to>
      <xdr:col>23</xdr:col>
      <xdr:colOff>300182</xdr:colOff>
      <xdr:row>19</xdr:row>
      <xdr:rowOff>14933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599B8E-4E53-4DDB-9728-95FCE0C86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185277</xdr:colOff>
      <xdr:row>11</xdr:row>
      <xdr:rowOff>38485</xdr:rowOff>
    </xdr:from>
    <xdr:to>
      <xdr:col>8</xdr:col>
      <xdr:colOff>170037</xdr:colOff>
      <xdr:row>27</xdr:row>
      <xdr:rowOff>82413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1C6B70C-9CD6-4551-8016-B2A30C5E85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277" y="2050165"/>
              <a:ext cx="4861560" cy="29700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</xdr:row>
      <xdr:rowOff>38486</xdr:rowOff>
    </xdr:from>
    <xdr:to>
      <xdr:col>8</xdr:col>
      <xdr:colOff>361757</xdr:colOff>
      <xdr:row>10</xdr:row>
      <xdr:rowOff>177030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343C001-9A4B-6811-FD7D-CEBCFB6DA2C4}"/>
            </a:ext>
          </a:extLst>
        </xdr:cNvPr>
        <xdr:cNvSpPr/>
      </xdr:nvSpPr>
      <xdr:spPr>
        <a:xfrm>
          <a:off x="608061" y="592668"/>
          <a:ext cx="4618181" cy="143163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Kaamdost is a digital platform that connects users with local service providers, offering seamless service discovery, booking, and management. The project follows a hybrid delivery approach to ensure flexibility, efficiency, and high-quality outcomes.</a:t>
          </a:r>
        </a:p>
        <a:p>
          <a:pPr algn="l"/>
          <a:endParaRPr lang="en-IN" sz="11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IN" sz="11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N" sz="11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Budget</a:t>
          </a:r>
          <a:r>
            <a:rPr lang="en-IN" sz="1100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: 30000 USD</a:t>
          </a:r>
        </a:p>
        <a:p>
          <a:pPr algn="l"/>
          <a:r>
            <a:rPr lang="en-IN" sz="1200" b="1">
              <a:solidFill>
                <a:sysClr val="windowText" lastClr="000000"/>
              </a:solidFill>
            </a:rPr>
            <a:t>Current Phase: Development</a:t>
          </a:r>
          <a:endParaRPr lang="en-IN" sz="1200" b="1" baseline="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/>
            <a:t>digital platform that connects users with local service providers, offering seamless service discovery, booking, and management. The project follows a hybrid delivery approach to ensure flexibility, efficiency, and high-quality outcomes.</a:t>
          </a:r>
          <a:endParaRPr lang="en-IN" sz="1100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0</xdr:colOff>
      <xdr:row>20</xdr:row>
      <xdr:rowOff>0</xdr:rowOff>
    </xdr:from>
    <xdr:to>
      <xdr:col>24</xdr:col>
      <xdr:colOff>111304</xdr:colOff>
      <xdr:row>33</xdr:row>
      <xdr:rowOff>17123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770D4DE-CD50-4B5C-8B81-C15239C15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BCBF1-4FB1-4836-8FC5-3D5225917845}">
  <dimension ref="A1:Q4"/>
  <sheetViews>
    <sheetView topLeftCell="A25" zoomScale="89" zoomScaleNormal="89" workbookViewId="0">
      <selection activeCell="J5" sqref="J5"/>
    </sheetView>
  </sheetViews>
  <sheetFormatPr defaultRowHeight="14.4" x14ac:dyDescent="0.3"/>
  <sheetData>
    <row r="1" spans="1:17" x14ac:dyDescent="0.3">
      <c r="A1" s="34" t="s">
        <v>97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x14ac:dyDescent="0.3">
      <c r="P2" s="31"/>
    </row>
    <row r="3" spans="1:17" x14ac:dyDescent="0.3">
      <c r="A3" s="35" t="s">
        <v>98</v>
      </c>
      <c r="B3" s="35"/>
      <c r="C3" s="35"/>
      <c r="D3" s="35"/>
      <c r="E3" s="35"/>
      <c r="F3" s="35"/>
      <c r="G3" s="35"/>
      <c r="H3" s="35"/>
      <c r="I3" s="35"/>
      <c r="O3" s="32"/>
      <c r="P3" s="33" t="s">
        <v>99</v>
      </c>
      <c r="Q3" s="32"/>
    </row>
    <row r="4" spans="1:17" x14ac:dyDescent="0.3">
      <c r="O4" s="32"/>
      <c r="P4" s="33" t="s">
        <v>32</v>
      </c>
      <c r="Q4" s="32"/>
    </row>
  </sheetData>
  <mergeCells count="2">
    <mergeCell ref="A1:Q1"/>
    <mergeCell ref="A3:I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9FEB-9163-49E2-8DAA-8AC4E918B548}">
  <dimension ref="A1:J42"/>
  <sheetViews>
    <sheetView tabSelected="1" topLeftCell="A19" workbookViewId="0">
      <selection activeCell="I2" sqref="I2:J2"/>
    </sheetView>
  </sheetViews>
  <sheetFormatPr defaultRowHeight="14.4" x14ac:dyDescent="0.3"/>
  <cols>
    <col min="1" max="1" width="4.21875" customWidth="1"/>
    <col min="2" max="2" width="9.77734375" customWidth="1"/>
    <col min="3" max="3" width="15.21875" customWidth="1"/>
    <col min="4" max="4" width="11.44140625" customWidth="1"/>
    <col min="5" max="5" width="10.5546875" customWidth="1"/>
    <col min="6" max="6" width="13.5546875" customWidth="1"/>
    <col min="7" max="7" width="9.21875" customWidth="1"/>
    <col min="8" max="8" width="9.33203125" bestFit="1" customWidth="1"/>
    <col min="9" max="9" width="6.21875" customWidth="1"/>
    <col min="10" max="10" width="12" customWidth="1"/>
  </cols>
  <sheetData>
    <row r="1" spans="1:10" ht="18.75" customHeight="1" x14ac:dyDescent="0.3">
      <c r="A1" s="37" t="s">
        <v>34</v>
      </c>
      <c r="B1" s="37"/>
      <c r="C1" s="38" t="s">
        <v>35</v>
      </c>
      <c r="D1" s="39"/>
      <c r="E1" s="37" t="s">
        <v>36</v>
      </c>
      <c r="F1" s="37"/>
      <c r="G1" s="40" t="s">
        <v>37</v>
      </c>
      <c r="H1" s="41"/>
      <c r="I1" s="17" t="s">
        <v>38</v>
      </c>
      <c r="J1" s="5">
        <v>46091</v>
      </c>
    </row>
    <row r="2" spans="1:10" ht="18.75" customHeight="1" x14ac:dyDescent="0.3">
      <c r="A2" s="42" t="s">
        <v>39</v>
      </c>
      <c r="B2" s="43"/>
      <c r="C2" s="43"/>
      <c r="D2" s="43"/>
      <c r="E2" s="43"/>
      <c r="F2" s="43"/>
      <c r="G2" s="43"/>
      <c r="H2" s="44"/>
      <c r="I2" s="36" t="s">
        <v>32</v>
      </c>
      <c r="J2" s="36"/>
    </row>
    <row r="3" spans="1:10" x14ac:dyDescent="0.3">
      <c r="A3" s="45" t="s">
        <v>2</v>
      </c>
      <c r="B3" s="45"/>
      <c r="C3" s="20" t="s">
        <v>33</v>
      </c>
      <c r="D3" s="46" t="s">
        <v>40</v>
      </c>
      <c r="E3" s="46"/>
      <c r="F3" s="46"/>
      <c r="G3" s="46"/>
      <c r="H3" s="46"/>
      <c r="I3" s="46"/>
      <c r="J3" s="46"/>
    </row>
    <row r="4" spans="1:10" x14ac:dyDescent="0.3">
      <c r="A4" s="45" t="s">
        <v>41</v>
      </c>
      <c r="B4" s="45"/>
      <c r="C4" s="20" t="s">
        <v>32</v>
      </c>
      <c r="D4" s="46" t="s">
        <v>42</v>
      </c>
      <c r="E4" s="46"/>
      <c r="F4" s="46"/>
      <c r="G4" s="46"/>
      <c r="H4" s="46"/>
      <c r="I4" s="46"/>
      <c r="J4" s="46"/>
    </row>
    <row r="5" spans="1:10" x14ac:dyDescent="0.3">
      <c r="A5" s="45" t="s">
        <v>43</v>
      </c>
      <c r="B5" s="45"/>
      <c r="C5" s="20" t="s">
        <v>33</v>
      </c>
      <c r="D5" s="46" t="s">
        <v>44</v>
      </c>
      <c r="E5" s="46"/>
      <c r="F5" s="46"/>
      <c r="G5" s="46"/>
      <c r="H5" s="46"/>
      <c r="I5" s="46"/>
      <c r="J5" s="46"/>
    </row>
    <row r="6" spans="1:10" x14ac:dyDescent="0.3">
      <c r="A6" s="45" t="s">
        <v>45</v>
      </c>
      <c r="B6" s="45"/>
      <c r="C6" s="20" t="s">
        <v>31</v>
      </c>
      <c r="D6" s="46" t="s">
        <v>46</v>
      </c>
      <c r="E6" s="46"/>
      <c r="F6" s="46"/>
      <c r="G6" s="46"/>
      <c r="H6" s="46"/>
      <c r="I6" s="46"/>
      <c r="J6" s="46"/>
    </row>
    <row r="7" spans="1:10" x14ac:dyDescent="0.3">
      <c r="A7" s="45" t="s">
        <v>47</v>
      </c>
      <c r="B7" s="45"/>
      <c r="C7" s="20" t="s">
        <v>33</v>
      </c>
      <c r="D7" s="46" t="s">
        <v>48</v>
      </c>
      <c r="E7" s="46"/>
      <c r="F7" s="46"/>
      <c r="G7" s="46"/>
      <c r="H7" s="46"/>
      <c r="I7" s="46"/>
      <c r="J7" s="46"/>
    </row>
    <row r="8" spans="1:10" x14ac:dyDescent="0.3">
      <c r="A8" s="45" t="s">
        <v>49</v>
      </c>
      <c r="B8" s="45"/>
      <c r="C8" s="20" t="s">
        <v>33</v>
      </c>
      <c r="D8" s="46" t="s">
        <v>50</v>
      </c>
      <c r="E8" s="46"/>
      <c r="F8" s="46"/>
      <c r="G8" s="46"/>
      <c r="H8" s="46"/>
      <c r="I8" s="46"/>
      <c r="J8" s="46"/>
    </row>
    <row r="9" spans="1:10" x14ac:dyDescent="0.3">
      <c r="A9" s="45" t="s">
        <v>24</v>
      </c>
      <c r="B9" s="45"/>
      <c r="C9" s="20" t="s">
        <v>31</v>
      </c>
      <c r="D9" s="46" t="s">
        <v>51</v>
      </c>
      <c r="E9" s="46"/>
      <c r="F9" s="46"/>
      <c r="G9" s="46"/>
      <c r="H9" s="46"/>
      <c r="I9" s="46"/>
      <c r="J9" s="46"/>
    </row>
    <row r="10" spans="1:10" x14ac:dyDescent="0.3">
      <c r="A10" s="45" t="s">
        <v>52</v>
      </c>
      <c r="B10" s="45"/>
      <c r="C10" s="20" t="s">
        <v>32</v>
      </c>
      <c r="D10" s="46" t="s">
        <v>53</v>
      </c>
      <c r="E10" s="46"/>
      <c r="F10" s="46"/>
      <c r="G10" s="46"/>
      <c r="H10" s="46"/>
      <c r="I10" s="46"/>
      <c r="J10" s="46"/>
    </row>
    <row r="11" spans="1:10" ht="18" customHeight="1" x14ac:dyDescent="0.3">
      <c r="A11" s="48" t="s">
        <v>54</v>
      </c>
      <c r="B11" s="48"/>
      <c r="C11" s="48"/>
      <c r="D11" s="48"/>
      <c r="E11" s="48"/>
      <c r="F11" s="48"/>
      <c r="G11" s="48"/>
      <c r="H11" s="48"/>
      <c r="I11" s="48"/>
      <c r="J11" s="48"/>
    </row>
    <row r="12" spans="1:10" x14ac:dyDescent="0.3">
      <c r="A12" s="21" t="s">
        <v>55</v>
      </c>
      <c r="B12" s="47" t="s">
        <v>8</v>
      </c>
      <c r="C12" s="47"/>
      <c r="D12" s="47"/>
      <c r="E12" s="21" t="s">
        <v>9</v>
      </c>
      <c r="F12" s="22" t="s">
        <v>10</v>
      </c>
      <c r="G12" s="22" t="s">
        <v>56</v>
      </c>
      <c r="H12" s="47" t="s">
        <v>57</v>
      </c>
      <c r="I12" s="47"/>
      <c r="J12" s="23" t="s">
        <v>58</v>
      </c>
    </row>
    <row r="13" spans="1:10" x14ac:dyDescent="0.3">
      <c r="A13" s="19">
        <v>1</v>
      </c>
      <c r="B13" s="49" t="s">
        <v>59</v>
      </c>
      <c r="C13" s="49"/>
      <c r="D13" s="49"/>
      <c r="E13" s="5">
        <v>46111</v>
      </c>
      <c r="F13" s="25">
        <v>46129</v>
      </c>
      <c r="G13" s="6">
        <v>100</v>
      </c>
      <c r="H13" s="50">
        <v>46129</v>
      </c>
      <c r="I13" s="51"/>
      <c r="J13" s="28" t="s">
        <v>55</v>
      </c>
    </row>
    <row r="14" spans="1:10" x14ac:dyDescent="0.3">
      <c r="A14" s="19">
        <v>2</v>
      </c>
      <c r="B14" s="49" t="s">
        <v>60</v>
      </c>
      <c r="C14" s="49"/>
      <c r="D14" s="49"/>
      <c r="E14" s="5">
        <v>46132</v>
      </c>
      <c r="F14" s="25">
        <v>46154</v>
      </c>
      <c r="G14" s="6">
        <v>66</v>
      </c>
      <c r="H14" s="50">
        <v>46158</v>
      </c>
      <c r="I14" s="51"/>
      <c r="J14" s="28" t="s">
        <v>55</v>
      </c>
    </row>
    <row r="15" spans="1:10" x14ac:dyDescent="0.3">
      <c r="A15" s="19">
        <v>3</v>
      </c>
      <c r="B15" s="24" t="s">
        <v>61</v>
      </c>
      <c r="C15" s="24"/>
      <c r="D15" s="24"/>
      <c r="E15" s="5">
        <v>46155</v>
      </c>
      <c r="F15" s="25">
        <v>46189</v>
      </c>
      <c r="G15" s="6">
        <v>29</v>
      </c>
      <c r="H15" s="26">
        <v>46195</v>
      </c>
      <c r="I15" s="27"/>
      <c r="J15" s="28"/>
    </row>
    <row r="16" spans="1:10" x14ac:dyDescent="0.3">
      <c r="A16" s="19">
        <v>3</v>
      </c>
      <c r="B16" s="49" t="s">
        <v>62</v>
      </c>
      <c r="C16" s="49"/>
      <c r="D16" s="49"/>
      <c r="E16" s="5">
        <v>46190</v>
      </c>
      <c r="F16" s="25">
        <v>46218</v>
      </c>
      <c r="G16" s="6">
        <v>10</v>
      </c>
      <c r="H16" s="50">
        <v>46223</v>
      </c>
      <c r="I16" s="51"/>
      <c r="J16" s="28" t="s">
        <v>55</v>
      </c>
    </row>
    <row r="17" spans="1:10" x14ac:dyDescent="0.3">
      <c r="A17" s="19">
        <v>4</v>
      </c>
      <c r="B17" s="49" t="s">
        <v>63</v>
      </c>
      <c r="C17" s="49"/>
      <c r="D17" s="49"/>
      <c r="E17" s="5">
        <v>46219</v>
      </c>
      <c r="F17" s="25">
        <v>46228</v>
      </c>
      <c r="G17" s="6">
        <v>0</v>
      </c>
      <c r="H17" s="50">
        <v>46231</v>
      </c>
      <c r="I17" s="51"/>
      <c r="J17" s="28" t="s">
        <v>55</v>
      </c>
    </row>
    <row r="18" spans="1:10" x14ac:dyDescent="0.3">
      <c r="A18" s="19">
        <v>5</v>
      </c>
      <c r="B18" s="49" t="s">
        <v>64</v>
      </c>
      <c r="C18" s="49"/>
      <c r="D18" s="49"/>
      <c r="E18" s="5">
        <v>46229</v>
      </c>
      <c r="F18" s="25">
        <v>46231</v>
      </c>
      <c r="G18" s="6">
        <v>0</v>
      </c>
      <c r="H18" s="50">
        <v>46233</v>
      </c>
      <c r="I18" s="51"/>
      <c r="J18" s="28" t="s">
        <v>55</v>
      </c>
    </row>
    <row r="19" spans="1:10" x14ac:dyDescent="0.3">
      <c r="A19" s="19">
        <v>6</v>
      </c>
      <c r="B19" s="49" t="s">
        <v>65</v>
      </c>
      <c r="C19" s="49"/>
      <c r="D19" s="49"/>
      <c r="E19" s="5">
        <v>46232</v>
      </c>
      <c r="F19" s="25">
        <v>46234</v>
      </c>
      <c r="G19" s="6">
        <v>0</v>
      </c>
      <c r="H19" s="50">
        <v>46236</v>
      </c>
      <c r="I19" s="51"/>
      <c r="J19" s="28" t="s">
        <v>55</v>
      </c>
    </row>
    <row r="20" spans="1:10" ht="18" customHeight="1" x14ac:dyDescent="0.3">
      <c r="A20" s="48" t="s">
        <v>66</v>
      </c>
      <c r="B20" s="48"/>
      <c r="C20" s="48"/>
      <c r="D20" s="48"/>
      <c r="E20" s="48"/>
      <c r="F20" s="48"/>
      <c r="G20" s="48"/>
      <c r="H20" s="48"/>
      <c r="I20" s="48"/>
      <c r="J20" s="48"/>
    </row>
    <row r="21" spans="1:10" x14ac:dyDescent="0.3">
      <c r="A21" s="21" t="s">
        <v>55</v>
      </c>
      <c r="B21" s="54" t="s">
        <v>67</v>
      </c>
      <c r="C21" s="54"/>
      <c r="D21" s="54"/>
      <c r="E21" s="54" t="s">
        <v>68</v>
      </c>
      <c r="F21" s="54"/>
      <c r="G21" s="54" t="s">
        <v>69</v>
      </c>
      <c r="H21" s="54"/>
      <c r="I21" s="54" t="s">
        <v>70</v>
      </c>
      <c r="J21" s="54"/>
    </row>
    <row r="22" spans="1:10" x14ac:dyDescent="0.3">
      <c r="A22" s="19">
        <v>1</v>
      </c>
      <c r="B22" s="46" t="s">
        <v>71</v>
      </c>
      <c r="C22" s="46"/>
      <c r="D22" s="46"/>
      <c r="E22" s="52">
        <v>15000</v>
      </c>
      <c r="F22" s="52"/>
      <c r="G22" s="52">
        <v>13500</v>
      </c>
      <c r="H22" s="52"/>
      <c r="I22" s="52">
        <f>E22-G22</f>
        <v>1500</v>
      </c>
      <c r="J22" s="53"/>
    </row>
    <row r="23" spans="1:10" x14ac:dyDescent="0.3">
      <c r="A23" s="19">
        <v>2</v>
      </c>
      <c r="B23" s="46" t="s">
        <v>15</v>
      </c>
      <c r="C23" s="46"/>
      <c r="D23" s="46"/>
      <c r="E23" s="52">
        <v>5000</v>
      </c>
      <c r="F23" s="52"/>
      <c r="G23" s="52">
        <v>4200</v>
      </c>
      <c r="H23" s="52"/>
      <c r="I23" s="52">
        <f t="shared" ref="I23:I27" si="0">E23-G23</f>
        <v>800</v>
      </c>
      <c r="J23" s="53"/>
    </row>
    <row r="24" spans="1:10" x14ac:dyDescent="0.3">
      <c r="A24" s="19">
        <v>3</v>
      </c>
      <c r="B24" s="46" t="s">
        <v>72</v>
      </c>
      <c r="C24" s="46"/>
      <c r="D24" s="46"/>
      <c r="E24" s="52">
        <v>3000</v>
      </c>
      <c r="F24" s="52"/>
      <c r="G24" s="52">
        <v>2500</v>
      </c>
      <c r="H24" s="52"/>
      <c r="I24" s="52">
        <f t="shared" si="0"/>
        <v>500</v>
      </c>
      <c r="J24" s="53"/>
    </row>
    <row r="25" spans="1:10" x14ac:dyDescent="0.3">
      <c r="A25" s="19">
        <v>4</v>
      </c>
      <c r="B25" s="46" t="s">
        <v>73</v>
      </c>
      <c r="C25" s="46"/>
      <c r="D25" s="46"/>
      <c r="E25" s="52">
        <v>4000</v>
      </c>
      <c r="F25" s="52"/>
      <c r="G25" s="52">
        <v>3200</v>
      </c>
      <c r="H25" s="52"/>
      <c r="I25" s="52">
        <f t="shared" si="0"/>
        <v>800</v>
      </c>
      <c r="J25" s="53"/>
    </row>
    <row r="26" spans="1:10" ht="13.8" customHeight="1" x14ac:dyDescent="0.3">
      <c r="A26" s="19">
        <v>5</v>
      </c>
      <c r="B26" s="46" t="s">
        <v>20</v>
      </c>
      <c r="C26" s="46"/>
      <c r="D26" s="46"/>
      <c r="E26" s="52">
        <v>3000</v>
      </c>
      <c r="F26" s="52"/>
      <c r="G26" s="52">
        <v>2400</v>
      </c>
      <c r="H26" s="52"/>
      <c r="I26" s="52">
        <f t="shared" si="0"/>
        <v>600</v>
      </c>
      <c r="J26" s="53"/>
    </row>
    <row r="27" spans="1:10" x14ac:dyDescent="0.3">
      <c r="A27" s="55" t="s">
        <v>74</v>
      </c>
      <c r="B27" s="56"/>
      <c r="C27" s="56"/>
      <c r="D27" s="57"/>
      <c r="E27" s="58">
        <f>SUM(E22:F26)</f>
        <v>30000</v>
      </c>
      <c r="F27" s="58"/>
      <c r="G27" s="58">
        <f>SUM(G22:H26)</f>
        <v>25800</v>
      </c>
      <c r="H27" s="58"/>
      <c r="I27" s="52">
        <f t="shared" si="0"/>
        <v>4200</v>
      </c>
      <c r="J27" s="53"/>
    </row>
    <row r="28" spans="1:10" x14ac:dyDescent="0.3">
      <c r="A28" s="48" t="s">
        <v>75</v>
      </c>
      <c r="B28" s="48"/>
      <c r="C28" s="48"/>
      <c r="D28" s="48"/>
      <c r="E28" s="48"/>
      <c r="F28" s="48"/>
      <c r="G28" s="48"/>
      <c r="H28" s="48"/>
      <c r="I28" s="48"/>
      <c r="J28" s="48"/>
    </row>
    <row r="29" spans="1:10" x14ac:dyDescent="0.3">
      <c r="A29" s="23" t="s">
        <v>55</v>
      </c>
      <c r="B29" s="23" t="s">
        <v>76</v>
      </c>
      <c r="C29" s="54" t="s">
        <v>77</v>
      </c>
      <c r="D29" s="54"/>
      <c r="E29" s="54"/>
      <c r="F29" s="54"/>
      <c r="G29" s="23" t="s">
        <v>78</v>
      </c>
      <c r="H29" s="54" t="s">
        <v>79</v>
      </c>
      <c r="I29" s="54"/>
      <c r="J29" s="23" t="s">
        <v>80</v>
      </c>
    </row>
    <row r="30" spans="1:10" ht="30" customHeight="1" x14ac:dyDescent="0.3">
      <c r="A30" s="19">
        <v>1</v>
      </c>
      <c r="B30" s="29" t="s">
        <v>81</v>
      </c>
      <c r="C30" s="59" t="s">
        <v>82</v>
      </c>
      <c r="D30" s="59"/>
      <c r="E30" s="59"/>
      <c r="F30" s="59"/>
      <c r="G30" s="18" t="s">
        <v>33</v>
      </c>
      <c r="H30" s="60" t="s">
        <v>83</v>
      </c>
      <c r="I30" s="60"/>
      <c r="J30" s="30">
        <v>46136</v>
      </c>
    </row>
    <row r="31" spans="1:10" ht="30" customHeight="1" x14ac:dyDescent="0.3">
      <c r="A31" s="19">
        <v>2</v>
      </c>
      <c r="B31" s="29" t="s">
        <v>84</v>
      </c>
      <c r="C31" s="59" t="s">
        <v>85</v>
      </c>
      <c r="D31" s="59"/>
      <c r="E31" s="59"/>
      <c r="F31" s="59"/>
      <c r="G31" s="18" t="s">
        <v>31</v>
      </c>
      <c r="H31" s="60" t="s">
        <v>86</v>
      </c>
      <c r="I31" s="60"/>
      <c r="J31" s="30" t="s">
        <v>87</v>
      </c>
    </row>
    <row r="32" spans="1:10" ht="30" customHeight="1" x14ac:dyDescent="0.3">
      <c r="A32" s="19">
        <v>3</v>
      </c>
      <c r="B32" s="29" t="s">
        <v>88</v>
      </c>
      <c r="C32" s="59" t="s">
        <v>89</v>
      </c>
      <c r="D32" s="59"/>
      <c r="E32" s="59"/>
      <c r="F32" s="59"/>
      <c r="G32" s="18" t="s">
        <v>33</v>
      </c>
      <c r="H32" s="60" t="s">
        <v>90</v>
      </c>
      <c r="I32" s="60"/>
      <c r="J32" s="30">
        <v>46142</v>
      </c>
    </row>
    <row r="33" spans="1:10" ht="30" customHeight="1" x14ac:dyDescent="0.3">
      <c r="A33" s="19">
        <v>4</v>
      </c>
      <c r="B33" s="29" t="s">
        <v>91</v>
      </c>
      <c r="C33" s="59" t="s">
        <v>92</v>
      </c>
      <c r="D33" s="59"/>
      <c r="E33" s="59"/>
      <c r="F33" s="59"/>
      <c r="G33" s="18" t="s">
        <v>33</v>
      </c>
      <c r="H33" s="60" t="s">
        <v>93</v>
      </c>
      <c r="I33" s="60"/>
      <c r="J33" s="30">
        <v>46178</v>
      </c>
    </row>
    <row r="34" spans="1:10" ht="20.399999999999999" x14ac:dyDescent="0.3">
      <c r="A34" s="19">
        <v>5</v>
      </c>
      <c r="B34" s="29" t="s">
        <v>94</v>
      </c>
      <c r="C34" s="59" t="s">
        <v>95</v>
      </c>
      <c r="D34" s="59"/>
      <c r="E34" s="59"/>
      <c r="F34" s="59"/>
      <c r="G34" s="18" t="s">
        <v>33</v>
      </c>
      <c r="H34" s="60" t="s">
        <v>96</v>
      </c>
      <c r="I34" s="60"/>
      <c r="J34" s="30">
        <v>46125</v>
      </c>
    </row>
    <row r="35" spans="1:10" x14ac:dyDescent="0.3">
      <c r="A35" s="61"/>
      <c r="B35" s="61"/>
      <c r="C35" s="61"/>
      <c r="D35" s="61"/>
      <c r="E35" s="61"/>
      <c r="F35" s="61"/>
      <c r="G35" s="61"/>
      <c r="H35" s="61"/>
      <c r="I35" s="61"/>
      <c r="J35" s="61"/>
    </row>
    <row r="36" spans="1:10" x14ac:dyDescent="0.3">
      <c r="A36" s="62"/>
      <c r="B36" s="62"/>
      <c r="C36" s="62"/>
      <c r="D36" s="62"/>
      <c r="E36" s="62"/>
      <c r="F36" s="62"/>
      <c r="G36" s="62"/>
      <c r="H36" s="62"/>
      <c r="I36" s="62"/>
      <c r="J36" s="62"/>
    </row>
    <row r="37" spans="1:10" x14ac:dyDescent="0.3">
      <c r="A37" s="62"/>
      <c r="B37" s="62"/>
      <c r="C37" s="62"/>
      <c r="D37" s="62"/>
      <c r="E37" s="62"/>
      <c r="F37" s="62"/>
      <c r="G37" s="62"/>
      <c r="H37" s="62"/>
      <c r="I37" s="62"/>
      <c r="J37" s="62"/>
    </row>
    <row r="38" spans="1:10" x14ac:dyDescent="0.3">
      <c r="A38" s="62"/>
      <c r="B38" s="62"/>
      <c r="C38" s="62"/>
      <c r="D38" s="62"/>
      <c r="E38" s="62"/>
      <c r="F38" s="62"/>
      <c r="G38" s="62"/>
      <c r="H38" s="62"/>
      <c r="I38" s="62"/>
      <c r="J38" s="62"/>
    </row>
    <row r="39" spans="1:10" x14ac:dyDescent="0.3">
      <c r="A39" s="62"/>
      <c r="B39" s="62"/>
      <c r="C39" s="62"/>
      <c r="D39" s="62"/>
      <c r="E39" s="62"/>
      <c r="F39" s="62"/>
      <c r="G39" s="62"/>
      <c r="H39" s="62"/>
      <c r="I39" s="62"/>
      <c r="J39" s="62"/>
    </row>
    <row r="40" spans="1:10" x14ac:dyDescent="0.3">
      <c r="A40" s="62"/>
      <c r="B40" s="62"/>
      <c r="C40" s="62"/>
      <c r="D40" s="62"/>
      <c r="E40" s="62"/>
      <c r="F40" s="62"/>
      <c r="G40" s="62"/>
      <c r="H40" s="62"/>
      <c r="I40" s="62"/>
      <c r="J40" s="62"/>
    </row>
    <row r="41" spans="1:10" x14ac:dyDescent="0.3">
      <c r="A41" s="62"/>
      <c r="B41" s="62"/>
      <c r="C41" s="62"/>
      <c r="D41" s="62"/>
      <c r="E41" s="62"/>
      <c r="F41" s="62"/>
      <c r="G41" s="62"/>
      <c r="H41" s="62"/>
      <c r="I41" s="62"/>
      <c r="J41" s="62"/>
    </row>
    <row r="42" spans="1:10" x14ac:dyDescent="0.3">
      <c r="A42" s="62"/>
      <c r="B42" s="62"/>
      <c r="C42" s="62"/>
      <c r="D42" s="62"/>
      <c r="E42" s="62"/>
      <c r="F42" s="62"/>
      <c r="G42" s="62"/>
      <c r="H42" s="62"/>
      <c r="I42" s="62"/>
      <c r="J42" s="62"/>
    </row>
  </sheetData>
  <mergeCells count="82">
    <mergeCell ref="C33:F33"/>
    <mergeCell ref="H33:I33"/>
    <mergeCell ref="C34:F34"/>
    <mergeCell ref="H34:I34"/>
    <mergeCell ref="A35:C42"/>
    <mergeCell ref="D35:F42"/>
    <mergeCell ref="G35:J42"/>
    <mergeCell ref="C30:F30"/>
    <mergeCell ref="H30:I30"/>
    <mergeCell ref="C31:F31"/>
    <mergeCell ref="H31:I31"/>
    <mergeCell ref="C32:F32"/>
    <mergeCell ref="H32:I32"/>
    <mergeCell ref="C29:F29"/>
    <mergeCell ref="H29:I29"/>
    <mergeCell ref="B25:D25"/>
    <mergeCell ref="E25:F25"/>
    <mergeCell ref="G25:H25"/>
    <mergeCell ref="I25:J25"/>
    <mergeCell ref="B26:D26"/>
    <mergeCell ref="E26:F26"/>
    <mergeCell ref="G26:H26"/>
    <mergeCell ref="I26:J26"/>
    <mergeCell ref="A27:D27"/>
    <mergeCell ref="E27:F27"/>
    <mergeCell ref="G27:H27"/>
    <mergeCell ref="I27:J27"/>
    <mergeCell ref="A28:J28"/>
    <mergeCell ref="B23:D23"/>
    <mergeCell ref="E23:F23"/>
    <mergeCell ref="G23:H23"/>
    <mergeCell ref="I23:J23"/>
    <mergeCell ref="B24:D24"/>
    <mergeCell ref="E24:F24"/>
    <mergeCell ref="G24:H24"/>
    <mergeCell ref="I24:J24"/>
    <mergeCell ref="B22:D22"/>
    <mergeCell ref="E22:F22"/>
    <mergeCell ref="G22:H22"/>
    <mergeCell ref="I22:J22"/>
    <mergeCell ref="B17:D17"/>
    <mergeCell ref="H17:I17"/>
    <mergeCell ref="B18:D18"/>
    <mergeCell ref="H18:I18"/>
    <mergeCell ref="B19:D19"/>
    <mergeCell ref="H19:I19"/>
    <mergeCell ref="A20:J20"/>
    <mergeCell ref="B21:D21"/>
    <mergeCell ref="E21:F21"/>
    <mergeCell ref="G21:H21"/>
    <mergeCell ref="I21:J21"/>
    <mergeCell ref="B13:D13"/>
    <mergeCell ref="H13:I13"/>
    <mergeCell ref="B14:D14"/>
    <mergeCell ref="H14:I14"/>
    <mergeCell ref="B16:D16"/>
    <mergeCell ref="H16:I16"/>
    <mergeCell ref="B12:D12"/>
    <mergeCell ref="H12:I12"/>
    <mergeCell ref="A6:B6"/>
    <mergeCell ref="D6:J6"/>
    <mergeCell ref="A7:B7"/>
    <mergeCell ref="D7:J7"/>
    <mergeCell ref="A8:B8"/>
    <mergeCell ref="D8:J8"/>
    <mergeCell ref="A9:B9"/>
    <mergeCell ref="D9:J9"/>
    <mergeCell ref="A10:B10"/>
    <mergeCell ref="D10:J10"/>
    <mergeCell ref="A11:J11"/>
    <mergeCell ref="A3:B3"/>
    <mergeCell ref="D3:J3"/>
    <mergeCell ref="A4:B4"/>
    <mergeCell ref="D4:J4"/>
    <mergeCell ref="A5:B5"/>
    <mergeCell ref="D5:J5"/>
    <mergeCell ref="I2:J2"/>
    <mergeCell ref="A1:B1"/>
    <mergeCell ref="C1:D1"/>
    <mergeCell ref="E1:F1"/>
    <mergeCell ref="G1:H1"/>
    <mergeCell ref="A2:H2"/>
  </mergeCells>
  <conditionalFormatting sqref="B30:B34">
    <cfRule type="cellIs" dxfId="17" priority="12" operator="equal">
      <formula>"Change Request"</formula>
    </cfRule>
    <cfRule type="cellIs" dxfId="16" priority="13" operator="equal">
      <formula>"Assumption"</formula>
    </cfRule>
    <cfRule type="cellIs" dxfId="15" priority="14" operator="equal">
      <formula>"Dependency"</formula>
    </cfRule>
    <cfRule type="cellIs" dxfId="14" priority="15" operator="equal">
      <formula>"Action"</formula>
    </cfRule>
    <cfRule type="cellIs" dxfId="13" priority="16" operator="equal">
      <formula>"Decision"</formula>
    </cfRule>
    <cfRule type="cellIs" dxfId="12" priority="17" operator="equal">
      <formula>"Issue"</formula>
    </cfRule>
    <cfRule type="cellIs" dxfId="11" priority="18" operator="equal">
      <formula>"Risk"</formula>
    </cfRule>
  </conditionalFormatting>
  <conditionalFormatting sqref="C3:C10">
    <cfRule type="cellIs" dxfId="10" priority="9" operator="equal">
      <formula>"Green"</formula>
    </cfRule>
    <cfRule type="cellIs" dxfId="9" priority="10" operator="equal">
      <formula>"Amber"</formula>
    </cfRule>
    <cfRule type="cellIs" dxfId="8" priority="11" operator="equal">
      <formula>"Red"</formula>
    </cfRule>
  </conditionalFormatting>
  <conditionalFormatting sqref="G13:G19">
    <cfRule type="dataBar" priority="19">
      <dataBar>
        <cfvo type="min"/>
        <cfvo type="percent" val="100"/>
        <color rgb="FF638EC6"/>
      </dataBar>
      <extLst>
        <ext xmlns:x14="http://schemas.microsoft.com/office/spreadsheetml/2009/9/main" uri="{B025F937-C7B1-47D3-B67F-A62EFF666E3E}">
          <x14:id>{30C97B0C-6266-411A-806B-494258BFF43B}</x14:id>
        </ext>
      </extLst>
    </cfRule>
  </conditionalFormatting>
  <conditionalFormatting sqref="G30:G34">
    <cfRule type="cellIs" dxfId="7" priority="1" operator="equal">
      <formula>"Green"</formula>
    </cfRule>
    <cfRule type="cellIs" dxfId="6" priority="2" operator="equal">
      <formula>"Amber"</formula>
    </cfRule>
    <cfRule type="cellIs" dxfId="5" priority="3" operator="equal">
      <formula>"Red"</formula>
    </cfRule>
  </conditionalFormatting>
  <conditionalFormatting sqref="I2">
    <cfRule type="cellIs" dxfId="4" priority="6" operator="equal">
      <formula>"Green"</formula>
    </cfRule>
    <cfRule type="cellIs" dxfId="3" priority="7" operator="equal">
      <formula>"Amber"</formula>
    </cfRule>
    <cfRule type="cellIs" dxfId="2" priority="8" operator="equal">
      <formula>"Red"</formula>
    </cfRule>
  </conditionalFormatting>
  <conditionalFormatting sqref="I22:J27">
    <cfRule type="cellIs" dxfId="1" priority="4" operator="greaterThan">
      <formula>0</formula>
    </cfRule>
    <cfRule type="cellIs" dxfId="0" priority="5" operator="lessThan">
      <formula>0</formula>
    </cfRule>
  </conditionalFormatting>
  <dataValidations count="1">
    <dataValidation type="list" allowBlank="1" showInputMessage="1" showErrorMessage="1" sqref="B30:B34 C3:C10 I2 G30:G34" xr:uid="{0CB22A24-E3EB-4F72-BD60-F4E626A41B6E}">
      <formula1>#REF!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C97B0C-6266-411A-806B-494258BFF43B}">
            <x14:dataBar minLength="0" maxLength="100" border="1" negativeBarBorderColorSameAsPositive="0">
              <x14:cfvo type="autoMin"/>
              <x14:cfvo type="percent">
                <xm:f>100</xm:f>
              </x14:cfvo>
              <x14:borderColor rgb="FF638EC6"/>
              <x14:negativeFillColor rgb="FFFF0000"/>
              <x14:negativeBorderColor rgb="FFFF0000"/>
              <x14:axisColor rgb="FF000000"/>
            </x14:dataBar>
          </x14:cfRule>
          <xm:sqref>G13:G19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workbookViewId="0">
      <selection activeCell="D26" sqref="A1:XFD1048576"/>
    </sheetView>
  </sheetViews>
  <sheetFormatPr defaultRowHeight="14.4" x14ac:dyDescent="0.3"/>
  <cols>
    <col min="1" max="1" width="32.77734375" customWidth="1"/>
    <col min="2" max="2" width="12.77734375" customWidth="1"/>
    <col min="3" max="3" width="5.44140625" customWidth="1"/>
    <col min="4" max="4" width="13.77734375" customWidth="1"/>
    <col min="5" max="5" width="12.21875" customWidth="1"/>
    <col min="6" max="6" width="11.77734375" customWidth="1"/>
    <col min="7" max="7" width="4.21875" customWidth="1"/>
    <col min="8" max="8" width="31.88671875" customWidth="1"/>
    <col min="9" max="9" width="8.88671875" style="9"/>
    <col min="12" max="12" width="21.109375" bestFit="1" customWidth="1"/>
  </cols>
  <sheetData>
    <row r="1" spans="1:9" x14ac:dyDescent="0.3">
      <c r="A1" s="64" t="s">
        <v>0</v>
      </c>
      <c r="B1" s="65"/>
      <c r="D1" s="66" t="s">
        <v>1</v>
      </c>
      <c r="E1" s="66"/>
      <c r="F1" s="66"/>
      <c r="H1" s="67" t="s">
        <v>2</v>
      </c>
      <c r="I1" s="67"/>
    </row>
    <row r="2" spans="1:9" x14ac:dyDescent="0.3">
      <c r="A2" s="1" t="s">
        <v>3</v>
      </c>
      <c r="B2" s="1" t="s">
        <v>4</v>
      </c>
      <c r="D2" s="12" t="s">
        <v>5</v>
      </c>
      <c r="E2" s="12" t="s">
        <v>6</v>
      </c>
      <c r="F2" s="12" t="s">
        <v>7</v>
      </c>
      <c r="H2" s="2" t="s">
        <v>8</v>
      </c>
      <c r="I2" s="3" t="s">
        <v>11</v>
      </c>
    </row>
    <row r="3" spans="1:9" x14ac:dyDescent="0.3">
      <c r="A3" s="4" t="s">
        <v>12</v>
      </c>
      <c r="B3" s="4">
        <v>8</v>
      </c>
      <c r="D3" s="13" t="s">
        <v>13</v>
      </c>
      <c r="E3" s="14">
        <v>15000</v>
      </c>
      <c r="F3" s="14">
        <v>13500</v>
      </c>
      <c r="H3" s="4" t="s">
        <v>59</v>
      </c>
      <c r="I3" s="6">
        <v>21</v>
      </c>
    </row>
    <row r="4" spans="1:9" x14ac:dyDescent="0.3">
      <c r="A4" s="4" t="s">
        <v>14</v>
      </c>
      <c r="B4" s="4">
        <v>8</v>
      </c>
      <c r="D4" s="13" t="s">
        <v>15</v>
      </c>
      <c r="E4" s="14">
        <v>5000</v>
      </c>
      <c r="F4" s="14">
        <v>4200</v>
      </c>
      <c r="H4" s="4" t="s">
        <v>60</v>
      </c>
      <c r="I4" s="6">
        <v>11</v>
      </c>
    </row>
    <row r="5" spans="1:9" x14ac:dyDescent="0.3">
      <c r="A5" s="4" t="s">
        <v>16</v>
      </c>
      <c r="B5" s="4">
        <v>10</v>
      </c>
      <c r="D5" s="13" t="s">
        <v>17</v>
      </c>
      <c r="E5" s="14">
        <v>3000</v>
      </c>
      <c r="F5" s="14">
        <v>2500</v>
      </c>
      <c r="H5" s="4" t="s">
        <v>61</v>
      </c>
      <c r="I5" s="6">
        <v>17</v>
      </c>
    </row>
    <row r="6" spans="1:9" x14ac:dyDescent="0.3">
      <c r="D6" s="13" t="s">
        <v>18</v>
      </c>
      <c r="E6" s="14">
        <v>4000</v>
      </c>
      <c r="F6" s="14">
        <v>3200</v>
      </c>
      <c r="H6" s="4" t="s">
        <v>62</v>
      </c>
      <c r="I6" s="6">
        <v>4</v>
      </c>
    </row>
    <row r="7" spans="1:9" x14ac:dyDescent="0.3">
      <c r="A7" s="68" t="s">
        <v>19</v>
      </c>
      <c r="B7" s="68"/>
      <c r="D7" s="13" t="s">
        <v>20</v>
      </c>
      <c r="E7" s="14">
        <v>3000</v>
      </c>
      <c r="F7" s="14">
        <v>2400</v>
      </c>
      <c r="H7" s="4" t="s">
        <v>100</v>
      </c>
      <c r="I7" s="6">
        <v>13</v>
      </c>
    </row>
    <row r="8" spans="1:9" x14ac:dyDescent="0.3">
      <c r="A8" s="7" t="s">
        <v>21</v>
      </c>
      <c r="B8" s="8">
        <v>5</v>
      </c>
      <c r="D8" s="13"/>
      <c r="E8" s="14"/>
      <c r="F8" s="14"/>
      <c r="H8" s="4" t="s">
        <v>64</v>
      </c>
      <c r="I8" s="6">
        <v>6</v>
      </c>
    </row>
    <row r="9" spans="1:9" x14ac:dyDescent="0.3">
      <c r="A9" s="7" t="s">
        <v>22</v>
      </c>
      <c r="B9" s="8">
        <v>8</v>
      </c>
      <c r="D9" s="15"/>
      <c r="E9" s="14"/>
      <c r="F9" s="14"/>
      <c r="H9" s="4" t="s">
        <v>65</v>
      </c>
      <c r="I9" s="6">
        <v>12</v>
      </c>
    </row>
    <row r="10" spans="1:9" x14ac:dyDescent="0.3">
      <c r="A10" s="7" t="s">
        <v>23</v>
      </c>
      <c r="B10" s="8">
        <v>9</v>
      </c>
      <c r="D10" s="15"/>
      <c r="E10" s="14"/>
      <c r="F10" s="14"/>
    </row>
    <row r="11" spans="1:9" x14ac:dyDescent="0.3">
      <c r="D11" s="15"/>
      <c r="E11" s="14"/>
      <c r="F11" s="14"/>
    </row>
    <row r="12" spans="1:9" x14ac:dyDescent="0.3">
      <c r="A12" s="68" t="s">
        <v>24</v>
      </c>
      <c r="B12" s="68"/>
      <c r="D12" s="15"/>
      <c r="E12" s="14"/>
      <c r="F12" s="14"/>
    </row>
    <row r="13" spans="1:9" x14ac:dyDescent="0.3">
      <c r="A13" s="7" t="s">
        <v>21</v>
      </c>
      <c r="B13" s="8">
        <v>2</v>
      </c>
      <c r="D13" s="15"/>
      <c r="E13" s="14"/>
      <c r="F13" s="14"/>
      <c r="H13" s="10"/>
    </row>
    <row r="14" spans="1:9" x14ac:dyDescent="0.3">
      <c r="A14" s="7" t="s">
        <v>22</v>
      </c>
      <c r="B14" s="8">
        <v>1</v>
      </c>
      <c r="D14" s="15"/>
      <c r="E14" s="14"/>
      <c r="F14" s="14"/>
    </row>
    <row r="15" spans="1:9" x14ac:dyDescent="0.3">
      <c r="A15" s="7" t="s">
        <v>23</v>
      </c>
      <c r="B15" s="8"/>
      <c r="D15" s="16" t="s">
        <v>25</v>
      </c>
      <c r="E15" s="16">
        <f>SUM(E3:E14)</f>
        <v>30000</v>
      </c>
      <c r="F15" s="16">
        <f>SUM(F3:F14)</f>
        <v>25800</v>
      </c>
    </row>
    <row r="16" spans="1:9" x14ac:dyDescent="0.3">
      <c r="C16" s="11"/>
    </row>
    <row r="17" spans="1:9" x14ac:dyDescent="0.3">
      <c r="A17" s="68" t="s">
        <v>26</v>
      </c>
      <c r="B17" s="68"/>
      <c r="C17" s="11"/>
      <c r="I17"/>
    </row>
    <row r="18" spans="1:9" x14ac:dyDescent="0.3">
      <c r="A18" s="7" t="s">
        <v>27</v>
      </c>
      <c r="B18" s="4">
        <v>1</v>
      </c>
      <c r="C18" s="11"/>
      <c r="I18"/>
    </row>
    <row r="19" spans="1:9" x14ac:dyDescent="0.3">
      <c r="A19" s="7" t="s">
        <v>28</v>
      </c>
      <c r="B19" s="4">
        <v>5</v>
      </c>
      <c r="C19" s="11"/>
      <c r="I19"/>
    </row>
    <row r="20" spans="1:9" x14ac:dyDescent="0.3">
      <c r="A20" s="7" t="s">
        <v>29</v>
      </c>
      <c r="B20" s="4">
        <v>2</v>
      </c>
      <c r="C20" s="11"/>
      <c r="I20"/>
    </row>
    <row r="21" spans="1:9" x14ac:dyDescent="0.3">
      <c r="I21"/>
    </row>
    <row r="22" spans="1:9" x14ac:dyDescent="0.3">
      <c r="A22" s="63" t="s">
        <v>30</v>
      </c>
      <c r="B22" s="63"/>
      <c r="I22"/>
    </row>
    <row r="23" spans="1:9" x14ac:dyDescent="0.3">
      <c r="A23" s="4" t="s">
        <v>31</v>
      </c>
      <c r="B23">
        <v>2</v>
      </c>
      <c r="I23"/>
    </row>
    <row r="24" spans="1:9" x14ac:dyDescent="0.3">
      <c r="A24" s="4" t="s">
        <v>32</v>
      </c>
      <c r="B24">
        <v>4</v>
      </c>
      <c r="I24"/>
    </row>
    <row r="25" spans="1:9" x14ac:dyDescent="0.3">
      <c r="A25" s="4" t="s">
        <v>33</v>
      </c>
      <c r="B25">
        <v>2</v>
      </c>
      <c r="I25"/>
    </row>
    <row r="26" spans="1:9" x14ac:dyDescent="0.3">
      <c r="I26"/>
    </row>
    <row r="27" spans="1:9" x14ac:dyDescent="0.3">
      <c r="I27"/>
    </row>
    <row r="28" spans="1:9" x14ac:dyDescent="0.3">
      <c r="I28"/>
    </row>
  </sheetData>
  <mergeCells count="7">
    <mergeCell ref="A22:B22"/>
    <mergeCell ref="A1:B1"/>
    <mergeCell ref="D1:F1"/>
    <mergeCell ref="H1:I1"/>
    <mergeCell ref="A7:B7"/>
    <mergeCell ref="A12:B12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Status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</dc:creator>
  <cp:lastModifiedBy>RAVI RAJ</cp:lastModifiedBy>
  <dcterms:created xsi:type="dcterms:W3CDTF">2015-06-05T18:17:20Z</dcterms:created>
  <dcterms:modified xsi:type="dcterms:W3CDTF">2026-04-16T19:08:15Z</dcterms:modified>
</cp:coreProperties>
</file>